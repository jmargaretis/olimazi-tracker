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ch. E Summary" sheetId="3" state="visible" r:id="rId3"/>
    <sheet xmlns:r="http://schemas.openxmlformats.org/officeDocument/2006/relationships" name="Review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$#,##0.00;[Red]($#,##0.00);-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7D7666"/>
      <sz val="10"/>
    </font>
    <font>
      <name val="Calibri"/>
      <b val="1"/>
      <color rgb="00FFFFFF"/>
    </font>
    <font>
      <name val="Calibri"/>
      <color rgb="002B2A26"/>
      <sz val="10"/>
    </font>
    <font>
      <name val="Calibri"/>
      <b val="1"/>
      <color rgb="002B2A26"/>
    </font>
  </fonts>
  <fills count="6">
    <fill>
      <patternFill/>
    </fill>
    <fill>
      <patternFill patternType="gray125"/>
    </fill>
    <fill>
      <patternFill patternType="solid">
        <fgColor rgb="00566123"/>
      </patternFill>
    </fill>
    <fill>
      <patternFill patternType="solid">
        <fgColor rgb="002B2A26"/>
      </patternFill>
    </fill>
    <fill>
      <patternFill patternType="solid">
        <fgColor rgb="00FBF8EF"/>
      </patternFill>
    </fill>
    <fill>
      <patternFill patternType="solid">
        <fgColor rgb="00F4EDDD"/>
      </patternFill>
    </fill>
  </fills>
  <borders count="3">
    <border>
      <left/>
      <right/>
      <top/>
      <bottom/>
      <diagonal/>
    </border>
    <border>
      <bottom style="thin">
        <color rgb="00D2C8B0"/>
      </bottom>
    </border>
    <border>
      <top style="medium">
        <color rgb="00566123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right"/>
    </xf>
    <xf numFmtId="0" fontId="5" fillId="5" borderId="2" pivotButton="0" quotePrefix="0" xfId="0"/>
    <xf numFmtId="164" fontId="5" fillId="5" borderId="2" pivotButton="0" quotePrefix="0" xfId="0"/>
    <xf numFmtId="165" fontId="4" fillId="4" borderId="1" applyAlignment="1" pivotButton="0" quotePrefix="0" xfId="0">
      <alignment vertical="top" wrapText="1"/>
    </xf>
    <xf numFmtId="0" fontId="5" fillId="0" borderId="2" pivotButton="0" quotePrefix="0" xfId="0"/>
    <xf numFmtId="0" fontId="5" fillId="4" borderId="2" applyAlignment="1" pivotButton="0" quotePrefix="0" xfId="0">
      <alignment vertical="top" wrapText="1"/>
    </xf>
    <xf numFmtId="164" fontId="5" fillId="4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b val="1"/>
        <color rgb="009B1C2E"/>
      </font>
      <fill>
        <patternFill patternType="solid">
          <fgColor rgb="00FFF2CC"/>
        </patternFill>
      </fill>
    </dxf>
    <dxf>
      <font>
        <color rgb="00566123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4" customWidth="1" min="5" max="5"/>
  </cols>
  <sheetData>
    <row r="1" ht="30" customHeight="1">
      <c r="A1" s="1" t="inlineStr">
        <is>
          <t>12 Sample Street — 2026 Income</t>
        </is>
      </c>
    </row>
    <row r="2" ht="28" customHeight="1">
      <c r="A2" s="2" t="inlineStr">
        <is>
          <t>Fake demonstration data. January–April are actual; May–December are projections.</t>
        </is>
      </c>
    </row>
    <row r="4">
      <c r="A4" t="inlineStr">
        <is>
          <t>Property</t>
        </is>
      </c>
      <c r="B4" t="inlineStr">
        <is>
          <t>12 Sample Street</t>
        </is>
      </c>
      <c r="C4" t="inlineStr">
        <is>
          <t>Tax year</t>
        </is>
      </c>
      <c r="D4" t="n">
        <v>2026</v>
      </c>
      <c r="E4" t="inlineStr">
        <is>
          <t>Cash basis</t>
        </is>
      </c>
    </row>
    <row r="5" ht="28" customHeight="1">
      <c r="A5" s="3" t="inlineStr">
        <is>
          <t>Month</t>
        </is>
      </c>
      <c r="B5" s="3" t="inlineStr">
        <is>
          <t>Gross Rent</t>
        </is>
      </c>
      <c r="C5" s="3" t="inlineStr">
        <is>
          <t>Tenant Credit</t>
        </is>
      </c>
      <c r="D5" s="3" t="inlineStr">
        <is>
          <t>Net Rent</t>
        </is>
      </c>
      <c r="E5" s="3" t="inlineStr">
        <is>
          <t>Status</t>
        </is>
      </c>
    </row>
    <row r="6">
      <c r="A6" s="4" t="inlineStr">
        <is>
          <t>January</t>
        </is>
      </c>
      <c r="B6" s="5" t="n">
        <v>1800</v>
      </c>
      <c r="C6" s="5" t="n">
        <v>0</v>
      </c>
      <c r="D6" s="5" t="n">
        <v>1800</v>
      </c>
      <c r="E6" s="4" t="inlineStr">
        <is>
          <t>Actual</t>
        </is>
      </c>
    </row>
    <row r="7">
      <c r="A7" s="4" t="inlineStr">
        <is>
          <t>February</t>
        </is>
      </c>
      <c r="B7" s="5" t="n">
        <v>1800</v>
      </c>
      <c r="C7" s="5" t="n">
        <v>50</v>
      </c>
      <c r="D7" s="5" t="n">
        <v>1750</v>
      </c>
      <c r="E7" s="4" t="inlineStr">
        <is>
          <t>Actual</t>
        </is>
      </c>
    </row>
    <row r="8">
      <c r="A8" s="4" t="inlineStr">
        <is>
          <t>March</t>
        </is>
      </c>
      <c r="B8" s="5" t="n">
        <v>1800</v>
      </c>
      <c r="C8" s="5" t="n">
        <v>0</v>
      </c>
      <c r="D8" s="5" t="n">
        <v>1800</v>
      </c>
      <c r="E8" s="4" t="inlineStr">
        <is>
          <t>Actual</t>
        </is>
      </c>
    </row>
    <row r="9">
      <c r="A9" s="4" t="inlineStr">
        <is>
          <t>April</t>
        </is>
      </c>
      <c r="B9" s="5" t="n">
        <v>1800</v>
      </c>
      <c r="C9" s="5" t="n">
        <v>0</v>
      </c>
      <c r="D9" s="5" t="n">
        <v>1800</v>
      </c>
      <c r="E9" s="4" t="inlineStr">
        <is>
          <t>Actual</t>
        </is>
      </c>
    </row>
    <row r="10">
      <c r="A10" s="4" t="inlineStr">
        <is>
          <t>May</t>
        </is>
      </c>
      <c r="B10" s="5" t="n">
        <v>1800</v>
      </c>
      <c r="C10" s="5" t="n">
        <v>0</v>
      </c>
      <c r="D10" s="5" t="n">
        <v>1800</v>
      </c>
      <c r="E10" s="4" t="inlineStr">
        <is>
          <t>Projected</t>
        </is>
      </c>
    </row>
    <row r="11">
      <c r="A11" s="4" t="inlineStr">
        <is>
          <t>June</t>
        </is>
      </c>
      <c r="B11" s="5" t="n">
        <v>1800</v>
      </c>
      <c r="C11" s="5" t="n">
        <v>0</v>
      </c>
      <c r="D11" s="5" t="n">
        <v>1800</v>
      </c>
      <c r="E11" s="4" t="inlineStr">
        <is>
          <t>Projected</t>
        </is>
      </c>
    </row>
    <row r="12">
      <c r="A12" s="4" t="inlineStr">
        <is>
          <t>July</t>
        </is>
      </c>
      <c r="B12" s="5" t="n">
        <v>1800</v>
      </c>
      <c r="C12" s="5" t="n">
        <v>0</v>
      </c>
      <c r="D12" s="5" t="n">
        <v>1800</v>
      </c>
      <c r="E12" s="4" t="inlineStr">
        <is>
          <t>Projected</t>
        </is>
      </c>
    </row>
    <row r="13">
      <c r="A13" s="4" t="inlineStr">
        <is>
          <t>August</t>
        </is>
      </c>
      <c r="B13" s="5" t="n">
        <v>1800</v>
      </c>
      <c r="C13" s="5" t="n">
        <v>0</v>
      </c>
      <c r="D13" s="5" t="n">
        <v>1800</v>
      </c>
      <c r="E13" s="4" t="inlineStr">
        <is>
          <t>Projected</t>
        </is>
      </c>
    </row>
    <row r="14">
      <c r="A14" s="4" t="inlineStr">
        <is>
          <t>September</t>
        </is>
      </c>
      <c r="B14" s="5" t="n">
        <v>1800</v>
      </c>
      <c r="C14" s="5" t="n">
        <v>0</v>
      </c>
      <c r="D14" s="5" t="n">
        <v>1800</v>
      </c>
      <c r="E14" s="4" t="inlineStr">
        <is>
          <t>Projected</t>
        </is>
      </c>
    </row>
    <row r="15">
      <c r="A15" s="4" t="inlineStr">
        <is>
          <t>October</t>
        </is>
      </c>
      <c r="B15" s="5" t="n">
        <v>1800</v>
      </c>
      <c r="C15" s="5" t="n">
        <v>0</v>
      </c>
      <c r="D15" s="5" t="n">
        <v>1800</v>
      </c>
      <c r="E15" s="4" t="inlineStr">
        <is>
          <t>Projected</t>
        </is>
      </c>
    </row>
    <row r="16">
      <c r="A16" s="4" t="inlineStr">
        <is>
          <t>November</t>
        </is>
      </c>
      <c r="B16" s="5" t="n">
        <v>1800</v>
      </c>
      <c r="C16" s="5" t="n">
        <v>0</v>
      </c>
      <c r="D16" s="5" t="n">
        <v>1800</v>
      </c>
      <c r="E16" s="4" t="inlineStr">
        <is>
          <t>Projected</t>
        </is>
      </c>
    </row>
    <row r="17">
      <c r="A17" s="4" t="inlineStr">
        <is>
          <t>December</t>
        </is>
      </c>
      <c r="B17" s="5" t="n">
        <v>1800</v>
      </c>
      <c r="C17" s="5" t="n">
        <v>0</v>
      </c>
      <c r="D17" s="5" t="n">
        <v>1800</v>
      </c>
      <c r="E17" s="4" t="inlineStr">
        <is>
          <t>Projected</t>
        </is>
      </c>
    </row>
    <row r="19">
      <c r="A19" s="6" t="inlineStr">
        <is>
          <t>YTD net income (Jan–Apr actual)</t>
        </is>
      </c>
      <c r="B19" s="6" t="n"/>
      <c r="C19" s="6" t="n"/>
      <c r="D19" s="7" t="n">
        <v>7150</v>
      </c>
      <c r="E19" s="6" t="n"/>
    </row>
  </sheetData>
  <mergeCells count="2">
    <mergeCell ref="A2:E2"/>
    <mergeCell ref="A1:E1"/>
  </mergeCells>
  <dataValidations count="1">
    <dataValidation sqref="E6:E17" showDropDown="0" showInputMessage="0" showErrorMessage="0" allowBlank="0" type="list">
      <formula1>"Actual,Projected"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28" customWidth="1" min="4" max="4"/>
    <col width="14" customWidth="1" min="5" max="5"/>
    <col width="14" customWidth="1" min="6" max="6"/>
    <col width="14" customWidth="1" min="7" max="7"/>
    <col width="13" customWidth="1" min="8" max="8"/>
    <col width="42" customWidth="1" min="9" max="9"/>
    <col width="58" customWidth="1" min="10" max="10"/>
  </cols>
  <sheetData>
    <row r="1" ht="30" customHeight="1">
      <c r="A1" s="1" t="inlineStr">
        <is>
          <t>12 Sample Street — 2026 Expenses</t>
        </is>
      </c>
    </row>
    <row r="2" ht="28" customHeight="1">
      <c r="A2" s="2" t="inlineStr">
        <is>
          <t>Fake source references are relative to this fixture folder. Two empty references test receipt matching.</t>
        </is>
      </c>
    </row>
    <row r="3">
      <c r="A3" t="inlineStr">
        <is>
          <t>Property</t>
        </is>
      </c>
      <c r="B3" t="inlineStr">
        <is>
          <t>12 Sample Street</t>
        </is>
      </c>
      <c r="C3" t="inlineStr">
        <is>
          <t>Tax year</t>
        </is>
      </c>
      <c r="D3" t="n">
        <v>2026</v>
      </c>
    </row>
    <row r="4" ht="28" customHeight="1">
      <c r="A4" s="3" t="inlineStr">
        <is>
          <t>Date</t>
        </is>
      </c>
      <c r="B4" s="3" t="inlineStr">
        <is>
          <t>Vendor</t>
        </is>
      </c>
      <c r="C4" s="3" t="inlineStr">
        <is>
          <t>Description</t>
        </is>
      </c>
      <c r="D4" s="3" t="inlineStr">
        <is>
          <t>Schedule E line</t>
        </is>
      </c>
      <c r="E4" s="3" t="inlineStr">
        <is>
          <t>Contracted</t>
        </is>
      </c>
      <c r="F4" s="3" t="inlineStr">
        <is>
          <t>Paid YTD</t>
        </is>
      </c>
      <c r="G4" s="3" t="inlineStr">
        <is>
          <t>Balance</t>
        </is>
      </c>
      <c r="H4" s="3" t="inlineStr">
        <is>
          <t>Status</t>
        </is>
      </c>
      <c r="I4" s="3" t="inlineStr">
        <is>
          <t>File Reference</t>
        </is>
      </c>
      <c r="J4" s="3" t="inlineStr">
        <is>
          <t>Notes</t>
        </is>
      </c>
    </row>
    <row r="5">
      <c r="A5" s="8" t="n">
        <v>46032</v>
      </c>
      <c r="B5" s="4" t="inlineStr">
        <is>
          <t>Sample Mutual</t>
        </is>
      </c>
      <c r="C5" s="4" t="inlineStr">
        <is>
          <t>Annual landlord policy</t>
        </is>
      </c>
      <c r="D5" s="4" t="inlineStr">
        <is>
          <t>L9 — Insurance</t>
        </is>
      </c>
      <c r="E5" s="5" t="n">
        <v>1200</v>
      </c>
      <c r="F5" s="5" t="n">
        <v>1200</v>
      </c>
      <c r="G5" s="5" t="n">
        <v>0</v>
      </c>
      <c r="H5" s="4" t="inlineStr">
        <is>
          <t>Paid</t>
        </is>
      </c>
      <c r="I5" s="4" t="inlineStr">
        <is>
          <t>source-docs/sample-insurance-policy.txt</t>
        </is>
      </c>
      <c r="J5" s="4" t="inlineStr">
        <is>
          <t>Fixture policy record.</t>
        </is>
      </c>
    </row>
    <row r="6">
      <c r="A6" s="8" t="n">
        <v>46044</v>
      </c>
      <c r="B6" s="4" t="inlineStr">
        <is>
          <t>Example Tax Services</t>
        </is>
      </c>
      <c r="C6" s="4" t="inlineStr">
        <is>
          <t>Bookkeeping setup consultation</t>
        </is>
      </c>
      <c r="D6" s="4" t="inlineStr">
        <is>
          <t>L10 — Professional fees</t>
        </is>
      </c>
      <c r="E6" s="5" t="n">
        <v>350</v>
      </c>
      <c r="F6" s="5" t="n">
        <v>350</v>
      </c>
      <c r="G6" s="5" t="n">
        <v>0</v>
      </c>
      <c r="H6" s="4" t="inlineStr">
        <is>
          <t>Paid</t>
        </is>
      </c>
      <c r="I6" s="4" t="inlineStr">
        <is>
          <t>source-docs/bookkeeping-consult.txt</t>
        </is>
      </c>
      <c r="J6" s="4" t="inlineStr">
        <is>
          <t>Fixture professional-fee record.</t>
        </is>
      </c>
    </row>
    <row r="7">
      <c r="A7" s="8" t="n">
        <v>46061</v>
      </c>
      <c r="B7" s="4" t="inlineStr">
        <is>
          <t>Sample Plumber</t>
        </is>
      </c>
      <c r="C7" s="4" t="inlineStr">
        <is>
          <t>Repair leaking kitchen supply line — Claim SAMPLE-001</t>
        </is>
      </c>
      <c r="D7" s="4" t="inlineStr">
        <is>
          <t>L14 — Repairs</t>
        </is>
      </c>
      <c r="E7" s="5" t="n">
        <v>625</v>
      </c>
      <c r="F7" s="5" t="n">
        <v>625</v>
      </c>
      <c r="G7" s="5" t="n">
        <v>0</v>
      </c>
      <c r="H7" s="4" t="inlineStr">
        <is>
          <t>Paid</t>
        </is>
      </c>
      <c r="I7" s="4" t="inlineStr">
        <is>
          <t>source-docs/plumbing-invoice.pdf</t>
        </is>
      </c>
      <c r="J7" s="4" t="inlineStr">
        <is>
          <t>Claim SAMPLE-001 repair invoice.</t>
        </is>
      </c>
    </row>
    <row r="8">
      <c r="A8" s="8" t="n">
        <v>46065</v>
      </c>
      <c r="B8" s="4" t="inlineStr">
        <is>
          <t>Anytown Hardware</t>
        </is>
      </c>
      <c r="C8" s="4" t="inlineStr">
        <is>
          <t>Paint and patch supplies</t>
        </is>
      </c>
      <c r="D8" s="4" t="inlineStr">
        <is>
          <t>L14 — Repairs</t>
        </is>
      </c>
      <c r="E8" s="5" t="n">
        <v>210</v>
      </c>
      <c r="F8" s="5" t="n">
        <v>210</v>
      </c>
      <c r="G8" s="5" t="n">
        <v>0</v>
      </c>
      <c r="H8" s="4" t="inlineStr">
        <is>
          <t>Paid</t>
        </is>
      </c>
      <c r="I8" s="4" t="inlineStr">
        <is>
          <t>source-docs/hardware-receipt.txt</t>
        </is>
      </c>
      <c r="J8" s="4" t="inlineStr">
        <is>
          <t>Fixture repair supplies.</t>
        </is>
      </c>
    </row>
    <row r="9">
      <c r="A9" s="8" t="n">
        <v>46082</v>
      </c>
      <c r="B9" s="4" t="inlineStr">
        <is>
          <t>Anytown County</t>
        </is>
      </c>
      <c r="C9" s="4" t="inlineStr">
        <is>
          <t>First property-tax installment</t>
        </is>
      </c>
      <c r="D9" s="4" t="inlineStr">
        <is>
          <t>L16 — Taxes</t>
        </is>
      </c>
      <c r="E9" s="5" t="n">
        <v>950</v>
      </c>
      <c r="F9" s="5" t="n">
        <v>950</v>
      </c>
      <c r="G9" s="5" t="n">
        <v>0</v>
      </c>
      <c r="H9" s="4" t="inlineStr">
        <is>
          <t>Paid</t>
        </is>
      </c>
      <c r="I9" s="4" t="inlineStr">
        <is>
          <t>source-docs/property-tax-receipt.pdf</t>
        </is>
      </c>
      <c r="J9" s="4" t="inlineStr">
        <is>
          <t>Fixture county receipt.</t>
        </is>
      </c>
    </row>
    <row r="10">
      <c r="A10" s="8" t="n">
        <v>46096</v>
      </c>
      <c r="B10" s="4" t="inlineStr">
        <is>
          <t>Anytown County</t>
        </is>
      </c>
      <c r="C10" s="4" t="inlineStr">
        <is>
          <t>Rental registration assessment</t>
        </is>
      </c>
      <c r="D10" s="4" t="inlineStr">
        <is>
          <t>L16 — Taxes</t>
        </is>
      </c>
      <c r="E10" s="5" t="n">
        <v>400</v>
      </c>
      <c r="F10" s="5" t="n">
        <v>400</v>
      </c>
      <c r="G10" s="5" t="n">
        <v>0</v>
      </c>
      <c r="H10" s="4" t="inlineStr">
        <is>
          <t>Paid</t>
        </is>
      </c>
      <c r="I10" s="4" t="inlineStr">
        <is>
          <t>source-docs/registration-assessment.txt</t>
        </is>
      </c>
      <c r="J10" s="4" t="inlineStr">
        <is>
          <t>Fixture local assessment.</t>
        </is>
      </c>
    </row>
    <row r="11">
      <c r="A11" s="8" t="n">
        <v>46101</v>
      </c>
      <c r="B11" s="4" t="inlineStr">
        <is>
          <t>Sample Mutual</t>
        </is>
      </c>
      <c r="C11" s="4" t="inlineStr">
        <is>
          <t>Insurance reimbursement proceeds — Claim SAMPLE-001</t>
        </is>
      </c>
      <c r="D11" s="4" t="inlineStr">
        <is>
          <t>L14 — Repairs</t>
        </is>
      </c>
      <c r="E11" s="5" t="n">
        <v>-300</v>
      </c>
      <c r="F11" s="5" t="n">
        <v>-300</v>
      </c>
      <c r="G11" s="5" t="n">
        <v>0</v>
      </c>
      <c r="H11" s="4" t="inlineStr">
        <is>
          <t>Received</t>
        </is>
      </c>
      <c r="I11" s="4" t="inlineStr">
        <is>
          <t>source-docs/reimbursement-notice.pdf</t>
        </is>
      </c>
      <c r="J11" s="4" t="inlineStr">
        <is>
          <t>ACCOUNTANT REVIEW: Confirm the negative repair contra treatment with the preparer.</t>
        </is>
      </c>
    </row>
    <row r="12">
      <c r="A12" s="8" t="n">
        <v>46117</v>
      </c>
      <c r="B12" s="4" t="inlineStr">
        <is>
          <t>Sample Locksmith</t>
        </is>
      </c>
      <c r="C12" s="4" t="inlineStr">
        <is>
          <t>Replace rear-entry lock</t>
        </is>
      </c>
      <c r="D12" s="4" t="inlineStr">
        <is>
          <t>L14 — Repairs</t>
        </is>
      </c>
      <c r="E12" s="5" t="n">
        <v>95</v>
      </c>
      <c r="F12" s="5" t="n">
        <v>95</v>
      </c>
      <c r="G12" s="5" t="n">
        <v>0</v>
      </c>
      <c r="H12" s="4" t="inlineStr">
        <is>
          <t>Paid</t>
        </is>
      </c>
      <c r="I12" s="4" t="inlineStr"/>
      <c r="J12" s="4" t="inlineStr">
        <is>
          <t>Intentionally unlinked; its receipt genuinely does not exist.</t>
        </is>
      </c>
    </row>
    <row r="13">
      <c r="A13" s="8" t="n">
        <v>46122</v>
      </c>
      <c r="B13" s="4" t="inlineStr">
        <is>
          <t>Sample Electric</t>
        </is>
      </c>
      <c r="C13" s="4" t="inlineStr">
        <is>
          <t>Replace porch light fixture</t>
        </is>
      </c>
      <c r="D13" s="4" t="inlineStr">
        <is>
          <t>L14 — Repairs</t>
        </is>
      </c>
      <c r="E13" s="5" t="n">
        <v>145</v>
      </c>
      <c r="F13" s="5" t="n">
        <v>145</v>
      </c>
      <c r="G13" s="5" t="n">
        <v>0</v>
      </c>
      <c r="H13" s="4" t="inlineStr">
        <is>
          <t>Paid</t>
        </is>
      </c>
      <c r="I13" s="4" t="inlineStr"/>
      <c r="J13" s="4" t="inlineStr">
        <is>
          <t>Intentionally unlinked; its matching receipt exists in source-docs.</t>
        </is>
      </c>
    </row>
  </sheetData>
  <mergeCells count="2">
    <mergeCell ref="A1:J1"/>
    <mergeCell ref="A2:J2"/>
  </mergeCells>
  <conditionalFormatting sqref="J5:J13">
    <cfRule type="expression" priority="1" dxfId="0">
      <formula>ISNUMBER(SEARCH("ACCOUNTANT REVIEW",J5))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1" customWidth="1" min="2" max="2"/>
    <col width="18" customWidth="1" min="3" max="3"/>
    <col width="54" customWidth="1" min="4" max="4"/>
  </cols>
  <sheetData>
    <row r="1" ht="30" customHeight="1">
      <c r="A1" s="1" t="inlineStr">
        <is>
          <t>12 Sample Street — Schedule E Summary</t>
        </is>
      </c>
    </row>
    <row r="2" ht="28" customHeight="1">
      <c r="A2" s="2" t="inlineStr">
        <is>
          <t>Formulas only on this tab. The reconciler recomputes all totals from Income and Expenses.</t>
        </is>
      </c>
    </row>
    <row r="4">
      <c r="A4" t="inlineStr">
        <is>
          <t>Property</t>
        </is>
      </c>
      <c r="B4" t="inlineStr">
        <is>
          <t>12 Sample Street</t>
        </is>
      </c>
    </row>
    <row r="5">
      <c r="A5" t="inlineStr">
        <is>
          <t>Fair Rental Days</t>
        </is>
      </c>
      <c r="B5" t="n">
        <v>365</v>
      </c>
    </row>
    <row r="7" ht="28" customHeight="1">
      <c r="A7" t="inlineStr"/>
      <c r="B7" s="3" t="inlineStr">
        <is>
          <t>Schedule E line</t>
        </is>
      </c>
      <c r="C7" s="3" t="inlineStr">
        <is>
          <t>Amount</t>
        </is>
      </c>
      <c r="D7" s="3" t="inlineStr">
        <is>
          <t>Notes</t>
        </is>
      </c>
    </row>
    <row r="8">
      <c r="B8" s="4" t="inlineStr">
        <is>
          <t>3 — Rents received</t>
        </is>
      </c>
      <c r="C8" s="5">
        <f>'Income'!D19</f>
        <v/>
      </c>
      <c r="D8" s="4" t="inlineStr">
        <is>
          <t>Four actual months.</t>
        </is>
      </c>
    </row>
    <row r="9">
      <c r="B9" s="4" t="inlineStr">
        <is>
          <t>4 — Royalties</t>
        </is>
      </c>
      <c r="C9" s="5">
        <f>0</f>
        <v/>
      </c>
      <c r="D9" s="4" t="inlineStr">
        <is>
          <t>Not applicable to this fixture.</t>
        </is>
      </c>
    </row>
    <row r="10">
      <c r="B10" s="4" t="inlineStr">
        <is>
          <t>5 — Advertising</t>
        </is>
      </c>
      <c r="C10" s="5">
        <f>SUMIF('Expenses'!D:D,"L5 — Advertising",'Expenses'!F:F)</f>
        <v/>
      </c>
      <c r="D10" s="4" t="inlineStr">
        <is>
          <t>Rolls up exact label: L5 — Advertising</t>
        </is>
      </c>
    </row>
    <row r="11">
      <c r="B11" s="4" t="inlineStr">
        <is>
          <t>6 — Auto and travel</t>
        </is>
      </c>
      <c r="C11" s="5">
        <f>SUMIF('Expenses'!D:D,"L6 — Auto and travel",'Expenses'!F:F)</f>
        <v/>
      </c>
      <c r="D11" s="4" t="inlineStr">
        <is>
          <t>Rolls up exact label: L6 — Auto and travel</t>
        </is>
      </c>
    </row>
    <row r="12">
      <c r="B12" s="4" t="inlineStr">
        <is>
          <t>7 — Cleaning and maintenance</t>
        </is>
      </c>
      <c r="C12" s="5">
        <f>SUMIF('Expenses'!D:D,"L7 — Cleaning and maintenance",'Expenses'!F:F)</f>
        <v/>
      </c>
      <c r="D12" s="4" t="inlineStr">
        <is>
          <t>Rolls up exact label: L7 — Cleaning and maintenance</t>
        </is>
      </c>
    </row>
    <row r="13">
      <c r="B13" s="4" t="inlineStr">
        <is>
          <t>8 — Commissions</t>
        </is>
      </c>
      <c r="C13" s="5">
        <f>SUMIF('Expenses'!D:D,"L8 — Commissions",'Expenses'!F:F)</f>
        <v/>
      </c>
      <c r="D13" s="4" t="inlineStr">
        <is>
          <t>Rolls up exact label: L8 — Commissions</t>
        </is>
      </c>
    </row>
    <row r="14">
      <c r="B14" s="4" t="inlineStr">
        <is>
          <t>9 — Insurance</t>
        </is>
      </c>
      <c r="C14" s="5">
        <f>SUMIF('Expenses'!D:D,"L9 — Insurance",'Expenses'!F:F)</f>
        <v/>
      </c>
      <c r="D14" s="4" t="inlineStr">
        <is>
          <t>Rolls up exact label: L9 — Insurance</t>
        </is>
      </c>
    </row>
    <row r="15">
      <c r="B15" s="4" t="inlineStr">
        <is>
          <t>10 — Professional fees</t>
        </is>
      </c>
      <c r="C15" s="5">
        <f>SUMIF('Expenses'!D:D,"L10 — Professional fees",'Expenses'!F:F)</f>
        <v/>
      </c>
      <c r="D15" s="4" t="inlineStr">
        <is>
          <t>Rolls up exact label: L10 — Professional fees</t>
        </is>
      </c>
    </row>
    <row r="16">
      <c r="B16" s="4" t="inlineStr">
        <is>
          <t>11 — Management fees</t>
        </is>
      </c>
      <c r="C16" s="5">
        <f>SUMIF('Expenses'!D:D,"L11 — Management fees",'Expenses'!F:F)</f>
        <v/>
      </c>
      <c r="D16" s="4" t="inlineStr">
        <is>
          <t>Rolls up exact label: L11 — Management fees</t>
        </is>
      </c>
    </row>
    <row r="17">
      <c r="B17" s="4" t="inlineStr">
        <is>
          <t>12 — Mortgage interest</t>
        </is>
      </c>
      <c r="C17" s="5">
        <f>SUMIF('Expenses'!D:D,"L12 — Mortgage interest",'Expenses'!F:F)</f>
        <v/>
      </c>
      <c r="D17" s="4" t="inlineStr">
        <is>
          <t>Rolls up exact label: L12 — Mortgage interest</t>
        </is>
      </c>
    </row>
    <row r="18">
      <c r="B18" s="4" t="inlineStr">
        <is>
          <t>13 — Other interest</t>
        </is>
      </c>
      <c r="C18" s="5">
        <f>SUMIF('Expenses'!D:D,"L13 — Other interest",'Expenses'!F:F)</f>
        <v/>
      </c>
      <c r="D18" s="4" t="inlineStr">
        <is>
          <t>Rolls up exact label: L13 — Other interest</t>
        </is>
      </c>
    </row>
    <row r="19">
      <c r="B19" s="4" t="inlineStr">
        <is>
          <t>14 — Repairs</t>
        </is>
      </c>
      <c r="C19" s="5">
        <f>SUMIF('Expenses'!D:D,"L14 — Repairs",'Expenses'!F:F)</f>
        <v/>
      </c>
      <c r="D19" s="4" t="inlineStr">
        <is>
          <t>Rolls up exact label: L14 — Repairs</t>
        </is>
      </c>
    </row>
    <row r="20">
      <c r="B20" s="4" t="inlineStr">
        <is>
          <t>15 — Supplies</t>
        </is>
      </c>
      <c r="C20" s="5">
        <f>SUMIF('Expenses'!D:D,"L15 — Supplies",'Expenses'!F:F)</f>
        <v/>
      </c>
      <c r="D20" s="4" t="inlineStr">
        <is>
          <t>Rolls up exact label: L15 — Supplies</t>
        </is>
      </c>
    </row>
    <row r="21">
      <c r="B21" s="4" t="inlineStr">
        <is>
          <t>16 — Taxes</t>
        </is>
      </c>
      <c r="C21" s="5">
        <f>SUMIF('Expenses'!D:D,"L16 — Taxes",'Expenses'!F:F)</f>
        <v/>
      </c>
      <c r="D21" s="4" t="inlineStr">
        <is>
          <t>Rolls up exact label: L16 — Taxes</t>
        </is>
      </c>
    </row>
    <row r="22">
      <c r="B22" s="4" t="inlineStr">
        <is>
          <t>17 — Utilities</t>
        </is>
      </c>
      <c r="C22" s="5">
        <f>SUMIF('Expenses'!D:D,"L17 — Utilities",'Expenses'!F:F)</f>
        <v/>
      </c>
      <c r="D22" s="4" t="inlineStr">
        <is>
          <t>Rolls up exact label: L17 — Utilities</t>
        </is>
      </c>
    </row>
    <row r="23">
      <c r="B23" s="4" t="inlineStr">
        <is>
          <t>18 — Depreciation</t>
        </is>
      </c>
      <c r="C23" s="5">
        <f>SUMIF('Expenses'!D:D,"L18 — Depreciation",'Expenses'!F:F)</f>
        <v/>
      </c>
      <c r="D23" s="4" t="inlineStr">
        <is>
          <t>Rolls up exact label: L18 — Depreciation</t>
        </is>
      </c>
    </row>
    <row r="24">
      <c r="B24" s="4" t="inlineStr">
        <is>
          <t>19 — Other</t>
        </is>
      </c>
      <c r="C24" s="5">
        <f>SUMIF('Expenses'!D:D,"L19 — Other",'Expenses'!F:F)</f>
        <v/>
      </c>
      <c r="D24" s="4" t="inlineStr">
        <is>
          <t>Rolls up exact label: L19 — Other</t>
        </is>
      </c>
    </row>
    <row r="25">
      <c r="A25" s="9" t="n"/>
      <c r="B25" s="10" t="inlineStr">
        <is>
          <t>20 — Total expenses</t>
        </is>
      </c>
      <c r="C25" s="11">
        <f>SUM(C10:C24)</f>
        <v/>
      </c>
      <c r="D25" s="10" t="inlineStr">
        <is>
          <t>Sum of lines 5–19.</t>
        </is>
      </c>
    </row>
    <row r="26">
      <c r="A26" s="9" t="n"/>
      <c r="B26" s="10" t="inlineStr">
        <is>
          <t>21 — Net income</t>
        </is>
      </c>
      <c r="C26" s="11">
        <f>C8+C9-C25</f>
        <v/>
      </c>
      <c r="D26" s="10" t="inlineStr">
        <is>
          <t>Line 3 + Line 4 − Line 20.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4" customWidth="1" min="4" max="4"/>
    <col width="34" customWidth="1" min="5" max="5"/>
  </cols>
  <sheetData>
    <row r="1" ht="30" customHeight="1">
      <c r="A1" s="1" t="inlineStr">
        <is>
          <t>12 Sample Street — Review Queue</t>
        </is>
      </c>
    </row>
    <row r="2" ht="28" customHeight="1">
      <c r="A2" s="2" t="inlineStr">
        <is>
          <t>Three open and two resolved fake demonstration items.</t>
        </is>
      </c>
    </row>
    <row r="3">
      <c r="A3" t="inlineStr">
        <is>
          <t>Queue</t>
        </is>
      </c>
      <c r="B3" t="inlineStr">
        <is>
          <t>Sample review items</t>
        </is>
      </c>
    </row>
    <row r="4" ht="28" customHeight="1">
      <c r="A4" s="3" t="inlineStr">
        <is>
          <t>Type</t>
        </is>
      </c>
      <c r="B4" s="3" t="inlineStr">
        <is>
          <t>Item</t>
        </is>
      </c>
      <c r="C4" s="3" t="inlineStr">
        <is>
          <t>Issue</t>
        </is>
      </c>
      <c r="D4" s="3" t="inlineStr">
        <is>
          <t>Action Needed</t>
        </is>
      </c>
      <c r="E4" s="3" t="inlineStr">
        <is>
          <t>Status</t>
        </is>
      </c>
    </row>
    <row r="5">
      <c r="A5" s="4" t="inlineStr">
        <is>
          <t>Missing data</t>
        </is>
      </c>
      <c r="B5" s="4" t="inlineStr">
        <is>
          <t>Sample Locksmith receipt</t>
        </is>
      </c>
      <c r="C5" s="4" t="inlineStr">
        <is>
          <t>No matching receipt is available for the expense row.</t>
        </is>
      </c>
      <c r="D5" s="4" t="inlineStr">
        <is>
          <t>Locate the receipt and paste its path into File Reference.</t>
        </is>
      </c>
      <c r="E5" s="4" t="inlineStr">
        <is>
          <t>Open</t>
        </is>
      </c>
    </row>
    <row r="6">
      <c r="A6" s="4" t="inlineStr">
        <is>
          <t>Insurance allocation</t>
        </is>
      </c>
      <c r="B6" s="4" t="inlineStr">
        <is>
          <t>Reimbursement received $300.00</t>
        </is>
      </c>
      <c r="C6" s="4" t="inlineStr">
        <is>
          <t>Claim SAMPLE-001 proceeds are booked as a negative Line 14 contra row.</t>
        </is>
      </c>
      <c r="D6" s="4" t="inlineStr">
        <is>
          <t>Ask the preparer to confirm the treatment.</t>
        </is>
      </c>
      <c r="E6" s="4" t="inlineStr">
        <is>
          <t>Open</t>
        </is>
      </c>
    </row>
    <row r="7">
      <c r="A7" s="4" t="inlineStr">
        <is>
          <t>Filing question</t>
        </is>
      </c>
      <c r="B7" s="4" t="inlineStr">
        <is>
          <t>Fair rental days</t>
        </is>
      </c>
      <c r="C7" s="4" t="inlineStr">
        <is>
          <t>The sample workbook uses 365 days.</t>
        </is>
      </c>
      <c r="D7" s="4" t="inlineStr">
        <is>
          <t>Confirm the day count before filing.</t>
        </is>
      </c>
      <c r="E7" s="4" t="inlineStr">
        <is>
          <t>Open</t>
        </is>
      </c>
    </row>
    <row r="8">
      <c r="A8" s="4" t="inlineStr">
        <is>
          <t>Document</t>
        </is>
      </c>
      <c r="B8" s="4" t="inlineStr">
        <is>
          <t>2026 sample lease</t>
        </is>
      </c>
      <c r="C8" s="4" t="inlineStr">
        <is>
          <t>Fixture lease copy was checked.</t>
        </is>
      </c>
      <c r="D8" s="4" t="inlineStr">
        <is>
          <t>No action needed.</t>
        </is>
      </c>
      <c r="E8" s="4" t="inlineStr">
        <is>
          <t>Resolved — fixture review complete</t>
        </is>
      </c>
    </row>
    <row r="9">
      <c r="A9" s="4" t="inlineStr">
        <is>
          <t>Income</t>
        </is>
      </c>
      <c r="B9" s="4" t="inlineStr">
        <is>
          <t>January rent deposit</t>
        </is>
      </c>
      <c r="C9" s="4" t="inlineStr">
        <is>
          <t>Fixture deposit matches the income row.</t>
        </is>
      </c>
      <c r="D9" s="4" t="inlineStr">
        <is>
          <t>No action needed.</t>
        </is>
      </c>
      <c r="E9" s="4" t="inlineStr">
        <is>
          <t>Resolved — fixture review complete</t>
        </is>
      </c>
    </row>
  </sheetData>
  <mergeCells count="2">
    <mergeCell ref="A2:E2"/>
    <mergeCell ref="A1:E1"/>
  </mergeCells>
  <conditionalFormatting sqref="E5:E9">
    <cfRule type="expression" priority="1" dxfId="1">
      <formula>LEFT(E5,8)="Resolved"</formula>
    </cfRule>
  </conditionalFormatting>
  <dataValidations count="1">
    <dataValidation sqref="E5:E9" showDropDown="0" showInputMessage="0" showErrorMessage="0" allowBlank="0" type="list">
      <formula1>"Open,Resolved — fixture review 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2026-07-17T21:39:54Z</dcterms:created>
  <dcterms:modified xmlns:dcterms="http://purl.org/dc/terms/" xmlns:xsi="http://www.w3.org/2001/XMLSchema-instance" xsi:type="dcterms:W3CDTF">2026-07-17T21:39:54Z</dcterms:modified>
</cp:coreProperties>
</file>